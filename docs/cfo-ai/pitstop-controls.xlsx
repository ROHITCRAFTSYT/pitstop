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Pricing and allowances" sheetId="1" r:id="rId1"/>
    <sheet name="Operating assumptions" sheetId="2" r:id="rId2"/>
    <sheet name="Design partner targets" sheetId="3" r:id="rId3"/>
  </sheets>
  <calcPr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&quot;$&quot;#,##0.00;(&quot;$&quot;#,##0.00)"/>
    <numFmt numFmtId="165" formatCode="#,##0.###;(#,##0.###)"/>
    <numFmt numFmtId="166" formatCode="&quot;$&quot;#,##0.000;(&quot;$&quot;#,##0.000)"/>
    <numFmt numFmtId="167" formatCode="#,##0.00;(#,##0.00)"/>
    <numFmt numFmtId="168" formatCode="0.00%"/>
    <numFmt numFmtId="169" formatCode="yyyy-mm-dd"/>
  </numFmts>
  <fonts count="4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</fonts>
  <fills count="6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E6E0D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left"/>
    </xf>
    <xf numFmtId="164" fontId="3" fillId="4" borderId="1" xfId="0" applyNumberFormat="1" applyFill="1" applyFont="1" applyBorder="1" applyAlignment="1">
      <alignment vertical="center" horizontal="right"/>
    </xf>
    <xf numFmtId="165" fontId="3" fillId="4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4" fontId="0" fillId="0" borderId="0" xfId="0" applyNumberFormat="1" applyAlignment="1">
      <alignment vertical="center" horizontal="right"/>
    </xf>
    <xf numFmtId="166" fontId="0" fillId="0" borderId="0" xfId="0" applyNumberFormat="1" applyAlignment="1">
      <alignment vertical="center" horizontal="right"/>
    </xf>
    <xf numFmtId="167" fontId="0" fillId="0" borderId="0" xfId="0" applyNumberFormat="1" applyAlignment="1">
      <alignment vertical="center" horizontal="right"/>
    </xf>
    <xf numFmtId="168" fontId="0" fillId="0" borderId="0" xfId="0" applyNumberFormat="1" applyAlignment="1">
      <alignment vertical="center" horizontal="right"/>
    </xf>
    <xf numFmtId="169" fontId="0" fillId="0" borderId="0" xfId="0" applyNumberFormat="1" applyAlignment="1">
      <alignment vertical="center" horizontal="right"/>
    </xf>
    <xf numFmtId="169" fontId="3" fillId="4" borderId="1" xfId="0" applyNumberFormat="1" applyFill="1" applyFont="1" applyBorder="1" applyAlignment="1">
      <alignment vertical="center" horizontal="right"/>
    </xf>
    <xf numFmtId="0" fontId="3" fillId="5" borderId="1" xfId="0" applyFill="1" applyFont="1" applyBorder="1" applyAlignment="1">
      <alignment vertical="center"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E6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</cols>
  <sheetData>
    <row r="1" ht="32" customHeight="1">
      <c r="A1" t="inlineStr" s="1">
        <is>
          <t xml:space="preserve">Pricing and allowances</t>
        </is>
      </c>
    </row>
    <row r="2" ht="20" customHeight="1">
      <c r="A2" t="inlineStr" s="2">
        <is>
          <t xml:space="preserve">Pitstop — Controls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Plan price</t>
        </is>
      </c>
      <c r="C4" t="inlineStr" s="4">
        <is>
          <t xml:space="preserve">Repos per plan unit</t>
        </is>
      </c>
      <c r="D4" t="inlineStr" s="4">
        <is>
          <t xml:space="preserve">Included stops</t>
        </is>
      </c>
      <c r="E4" t="inlineStr" s="4">
        <is>
          <t xml:space="preserve">Overage price</t>
        </is>
      </c>
    </row>
    <row r="5">
      <c r="A5" t="inlineStr" s="5">
        <is>
          <t xml:space="preserve">Business</t>
        </is>
      </c>
      <c r="B5" s="6">
        <f>299</f>
        <v>299</v>
      </c>
      <c r="C5" s="7">
        <f>5</f>
        <v>5</v>
      </c>
      <c r="D5" s="7">
        <f>400</f>
        <v>400</v>
      </c>
      <c r="E5" s="6">
        <f>1.5</f>
        <v>1.5</v>
      </c>
    </row>
    <row r="6">
      <c r="A6" t="inlineStr" s="5">
        <is>
          <t xml:space="preserve">Team</t>
        </is>
      </c>
      <c r="B6" s="6">
        <f>49</f>
        <v>49</v>
      </c>
      <c r="C6" s="7">
        <f>1</f>
        <v>1</v>
      </c>
      <c r="D6" s="7">
        <f>40</f>
        <v>40</v>
      </c>
      <c r="E6" s="6">
        <f>1.5</f>
        <v>1.5</v>
      </c>
    </row>
  </sheetData>
  <mergeCells count="1">
    <mergeCell ref="A1:E1"/>
  </mergeCells>
</worksheet>
</file>

<file path=xl/worksheets/sheet2.xml><?xml version="1.0" encoding="utf-8"?>
<worksheet xmlns="http://schemas.openxmlformats.org/spreadsheetml/2006/main">
  <dimension ref="A1:B25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Operating assumptions</t>
        </is>
      </c>
    </row>
    <row r="2" ht="20" customHeight="1">
      <c r="A2" t="inlineStr" s="2">
        <is>
          <t xml:space="preserve">Pitstop — Controls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Starting cash</t>
        </is>
      </c>
      <c r="B5" s="6">
        <f>10000</f>
        <v>10000</v>
      </c>
    </row>
    <row r="6">
      <c r="A6" t="inlineStr" s="8">
        <is>
          <t xml:space="preserve">Founder salaries</t>
        </is>
      </c>
      <c r="B6" s="9">
        <f>4000</f>
        <v>4000</v>
      </c>
    </row>
    <row r="7">
      <c r="A7" t="inlineStr" s="8">
        <is>
          <t xml:space="preserve">Infrastructure baseline</t>
        </is>
      </c>
      <c r="B7" s="9">
        <f>300</f>
        <v>300</v>
      </c>
    </row>
    <row r="8">
      <c r="A8" t="inlineStr" s="8">
        <is>
          <t xml:space="preserve">Tools expense</t>
        </is>
      </c>
      <c r="B8" s="9">
        <f>150</f>
        <v>150</v>
      </c>
    </row>
    <row r="9">
      <c r="A9" t="inlineStr" s="8">
        <is>
          <t xml:space="preserve">Marketing expense</t>
        </is>
      </c>
      <c r="B9" s="9">
        <f>300</f>
        <v>300</v>
      </c>
    </row>
    <row r="10">
      <c r="A10" t="inlineStr" s="8">
        <is>
          <t xml:space="preserve">Model cost per stop</t>
        </is>
      </c>
      <c r="B10" s="10">
        <f>0.75</f>
        <v>0.75</v>
      </c>
    </row>
    <row r="11">
      <c r="A11" t="inlineStr" s="8">
        <is>
          <t xml:space="preserve">Runner cost per stop</t>
        </is>
      </c>
      <c r="B11" s="10">
        <f>0.02</f>
        <v>0.02</v>
      </c>
    </row>
    <row r="12">
      <c r="A12" t="inlineStr" s="8">
        <is>
          <t xml:space="preserve">Logs cost per stop</t>
        </is>
      </c>
      <c r="B12" s="10">
        <f>0.01</f>
        <v>0.01</v>
      </c>
    </row>
    <row r="13">
      <c r="A13" t="inlineStr" s="8">
        <is>
          <t xml:space="preserve">Stops per repo</t>
        </is>
      </c>
      <c r="B13" s="11">
        <f>40</f>
        <v>40</v>
      </c>
    </row>
    <row r="14">
      <c r="A14" t="inlineStr" s="8">
        <is>
          <t xml:space="preserve">Gross additions rate</t>
        </is>
      </c>
      <c r="B14" s="12">
        <f>0.15</f>
        <v>0.15</v>
      </c>
    </row>
    <row r="15">
      <c r="A15" t="inlineStr" s="8">
        <is>
          <t xml:space="preserve">Monthly churn rate</t>
        </is>
      </c>
      <c r="B15" s="12">
        <f>0.03</f>
        <v>0.03</v>
      </c>
    </row>
    <row r="16">
      <c r="A16" t="inlineStr" s="8">
        <is>
          <t xml:space="preserve">Taxes</t>
        </is>
      </c>
      <c r="B16" s="9">
        <f>0</f>
        <v>0</v>
      </c>
    </row>
    <row r="17">
      <c r="A17" t="inlineStr" s="8">
        <is>
          <t xml:space="preserve">Payment fee rate</t>
        </is>
      </c>
      <c r="B17" s="12">
        <f>0</f>
        <v>0</v>
      </c>
    </row>
    <row r="18">
      <c r="A18" t="inlineStr" s="8">
        <is>
          <t xml:space="preserve">Monthly capex</t>
        </is>
      </c>
      <c r="B18" s="9">
        <f>0</f>
        <v>0</v>
      </c>
    </row>
    <row r="19">
      <c r="A19" t="inlineStr" s="8">
        <is>
          <t xml:space="preserve">Monthly financing</t>
        </is>
      </c>
      <c r="B19" s="9">
        <f>0</f>
        <v>0</v>
      </c>
    </row>
    <row r="20">
      <c r="A20" t="inlineStr" s="8">
        <is>
          <t xml:space="preserve">Free CLI subsidy</t>
        </is>
      </c>
      <c r="B20" s="9">
        <f>0</f>
        <v>0</v>
      </c>
    </row>
    <row r="21">
      <c r="A21" t="inlineStr" s="8">
        <is>
          <t xml:space="preserve">Low model cost</t>
        </is>
      </c>
      <c r="B21" s="10">
        <f>0.3</f>
        <v>0.3</v>
      </c>
    </row>
    <row r="22">
      <c r="A22" t="inlineStr" s="8">
        <is>
          <t xml:space="preserve">High model cost</t>
        </is>
      </c>
      <c r="B22" s="10">
        <f>1.2</f>
        <v>1.2</v>
      </c>
    </row>
    <row r="23">
      <c r="A23" t="inlineStr" s="8">
        <is>
          <t xml:space="preserve">Observed model cost illustration</t>
        </is>
      </c>
      <c r="B23" s="10">
        <f>0.125</f>
        <v>0.125</v>
      </c>
    </row>
    <row r="24">
      <c r="A24" t="inlineStr" s="8">
        <is>
          <t xml:space="preserve">Forecast start</t>
        </is>
      </c>
      <c r="B24" s="13">
        <f>DATE(2026,10,1)</f>
        <v>46296</v>
      </c>
    </row>
    <row r="25">
      <c r="A25" t="inlineStr" s="5">
        <is>
          <t xml:space="preserve">Forecast end</t>
        </is>
      </c>
      <c r="B25" s="14">
        <f>DATE(2027,9,30)</f>
        <v>46660</v>
      </c>
    </row>
  </sheetData>
  <mergeCells count="1">
    <mergeCell ref="A1:B1"/>
  </mergeCells>
</worksheet>
</file>

<file path=xl/worksheets/sheet3.xml><?xml version="1.0" encoding="utf-8"?>
<worksheet xmlns="http://schemas.openxmlformats.org/spreadsheetml/2006/main">
  <dimension ref="A1:D6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</cols>
  <sheetData>
    <row r="1" ht="32" customHeight="1">
      <c r="A1" t="inlineStr" s="1">
        <is>
          <t xml:space="preserve">Design partner targets</t>
        </is>
      </c>
    </row>
    <row r="2" ht="20" customHeight="1">
      <c r="A2" t="inlineStr" s="2">
        <is>
          <t xml:space="preserve">Pitstop — Controls · Main Scenario</t>
        </is>
      </c>
    </row>
    <row r="4" ht="22" customHeight="1">
      <c r="A4" t="inlineStr" s="3">
        <is>
          <t xml:space="preserve">Variable / dimension</t>
        </is>
      </c>
      <c r="B4" t="inlineStr" s="15">
        <is>
          <t xml:space="preserve">2026-10</t>
        </is>
      </c>
      <c r="C4" t="inlineStr" s="4">
        <is>
          <t xml:space="preserve">2026-11</t>
        </is>
      </c>
      <c r="D4" t="inlineStr" s="4">
        <is>
          <t xml:space="preserve">2026-12</t>
        </is>
      </c>
    </row>
    <row r="5">
      <c r="A5" t="inlineStr" s="5">
        <is>
          <t xml:space="preserve">Team target</t>
        </is>
      </c>
      <c r="B5" s="7">
        <f>10</f>
        <v>10</v>
      </c>
      <c r="C5" s="7">
        <f>25</f>
        <v>25</v>
      </c>
      <c r="D5" s="7">
        <f>40</f>
        <v>40</v>
      </c>
    </row>
    <row r="6">
      <c r="A6" t="inlineStr" s="5">
        <is>
          <t xml:space="preserve">Business target</t>
        </is>
      </c>
      <c r="B6" s="7">
        <f>1</f>
        <v>1</v>
      </c>
      <c r="C6" s="7">
        <f>1.5</f>
        <v>1.5</v>
      </c>
      <c r="D6" s="7">
        <f>2</f>
        <v>2</v>
      </c>
    </row>
  </sheetData>
  <mergeCells count="1">
    <mergeCell ref="A1:D1"/>
  </mergeCells>
</worksheet>
</file>